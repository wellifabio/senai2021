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3\"/>
    </mc:Choice>
  </mc:AlternateContent>
  <bookViews>
    <workbookView xWindow="0" yWindow="0" windowWidth="28800" windowHeight="1243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J5" i="1" s="1"/>
  <c r="H4" i="1"/>
  <c r="J4" i="1" s="1"/>
  <c r="G5" i="1"/>
  <c r="G4" i="1"/>
  <c r="J8" i="1"/>
  <c r="J7" i="1"/>
  <c r="J6" i="1" l="1"/>
</calcChain>
</file>

<file path=xl/sharedStrings.xml><?xml version="1.0" encoding="utf-8"?>
<sst xmlns="http://schemas.openxmlformats.org/spreadsheetml/2006/main" count="21" uniqueCount="15">
  <si>
    <t>Comanda</t>
  </si>
  <si>
    <t>Cod</t>
  </si>
  <si>
    <t>Prod</t>
  </si>
  <si>
    <t>Qtd</t>
  </si>
  <si>
    <t>Sub</t>
  </si>
  <si>
    <t>Cardapio</t>
  </si>
  <si>
    <t>Preço</t>
  </si>
  <si>
    <t>Pastel</t>
  </si>
  <si>
    <t>Coxinha</t>
  </si>
  <si>
    <t>Pão de Queijo</t>
  </si>
  <si>
    <t>Refri Lata</t>
  </si>
  <si>
    <t>Total</t>
  </si>
  <si>
    <t>Data</t>
  </si>
  <si>
    <t>Hora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</si>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</sst>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5" formatCode="[$-F400]h:mm:ss\ AM/PM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44" fontId="0" fillId="0" borderId="0" xfId="1" applyFont="1"/>
    <xf numFmtId="14" fontId="0" fillId="0" borderId="0" xfId="0" applyNumberFormat="1"/>
    <xf numFmtId="165" fontId="0" fillId="0" borderId="0" xfId="0" applyNumberFormat="1"/>
    <xf numFmtId="44" fontId="0" fillId="0" borderId="0" xfId="0" applyNumberFormat="1"/>
    <xf numFmtId="20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</xdr:colOff>
      <xdr:row>9</xdr:row>
      <xdr:rowOff>23812</xdr:rowOff>
    </xdr:from>
    <xdr:to>
      <xdr:col>6</xdr:col>
      <xdr:colOff>244078</xdr:colOff>
      <xdr:row>10</xdr:row>
      <xdr:rowOff>125015</xdr:rowOff>
    </xdr:to>
    <xdr:sp macro="[0]!Limpar" textlink="">
      <xdr:nvSpPr>
        <xdr:cNvPr id="2" name="Elipse 1"/>
        <xdr:cNvSpPr/>
      </xdr:nvSpPr>
      <xdr:spPr>
        <a:xfrm>
          <a:off x="3286125" y="1738312"/>
          <a:ext cx="857250" cy="2917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607218</xdr:colOff>
      <xdr:row>10</xdr:row>
      <xdr:rowOff>190499</xdr:rowOff>
    </xdr:from>
    <xdr:to>
      <xdr:col>7</xdr:col>
      <xdr:colOff>190499</xdr:colOff>
      <xdr:row>12</xdr:row>
      <xdr:rowOff>154781</xdr:rowOff>
    </xdr:to>
    <xdr:sp macro="[0]!Limpar" textlink="">
      <xdr:nvSpPr>
        <xdr:cNvPr id="3" name="Elipse 2"/>
        <xdr:cNvSpPr/>
      </xdr:nvSpPr>
      <xdr:spPr>
        <a:xfrm>
          <a:off x="3280171" y="2095499"/>
          <a:ext cx="1178719" cy="34528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Armazenar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20"/>
  <sheetViews>
    <sheetView tabSelected="1" zoomScale="160" zoomScaleNormal="160" workbookViewId="0">
      <selection activeCell="C18" sqref="C18"/>
    </sheetView>
  </sheetViews>
  <sheetFormatPr defaultRowHeight="15" x14ac:dyDescent="0.25"/>
  <cols>
    <col min="1" max="1" width="8.85546875" bestFit="1" customWidth="1"/>
    <col min="2" max="2" width="13.5703125" bestFit="1" customWidth="1"/>
    <col min="3" max="3" width="8.5703125" bestFit="1" customWidth="1"/>
    <col min="4" max="4" width="9.5703125" bestFit="1" customWidth="1"/>
    <col min="6" max="6" width="9.28515625" bestFit="1" customWidth="1"/>
    <col min="7" max="7" width="8.140625" bestFit="1" customWidth="1"/>
    <col min="8" max="8" width="8.5703125" bestFit="1" customWidth="1"/>
    <col min="9" max="9" width="4.28515625" bestFit="1" customWidth="1"/>
    <col min="10" max="10" width="11" bestFit="1" customWidth="1"/>
  </cols>
  <sheetData>
    <row r="2" spans="1:10" x14ac:dyDescent="0.25">
      <c r="A2" t="s">
        <v>5</v>
      </c>
      <c r="F2" t="s">
        <v>0</v>
      </c>
    </row>
    <row r="3" spans="1:10" x14ac:dyDescent="0.25">
      <c r="A3" t="s">
        <v>1</v>
      </c>
      <c r="B3" t="s">
        <v>2</v>
      </c>
      <c r="C3" t="s">
        <v>6</v>
      </c>
      <c r="F3" t="s">
        <v>1</v>
      </c>
      <c r="G3" t="s">
        <v>2</v>
      </c>
      <c r="H3" t="s">
        <v>6</v>
      </c>
      <c r="I3" t="s">
        <v>3</v>
      </c>
      <c r="J3" t="s">
        <v>4</v>
      </c>
    </row>
    <row r="4" spans="1:10" x14ac:dyDescent="0.25">
      <c r="A4">
        <v>0</v>
      </c>
      <c r="B4" t="s">
        <v>14</v>
      </c>
      <c r="C4" s="1">
        <v>0</v>
      </c>
      <c r="F4">
        <v>2</v>
      </c>
      <c r="G4" t="str">
        <f>VLOOKUP(F4,$A$4:$C$8,2,TRUE)</f>
        <v>Coxinha</v>
      </c>
      <c r="H4" s="1">
        <f>VLOOKUP(F4,$A$4:$C$8,3,TRUE)</f>
        <v>4.5</v>
      </c>
      <c r="I4">
        <v>2</v>
      </c>
      <c r="J4" s="4">
        <f>H4*I4</f>
        <v>9</v>
      </c>
    </row>
    <row r="5" spans="1:10" x14ac:dyDescent="0.25">
      <c r="A5">
        <v>1</v>
      </c>
      <c r="B5" t="s">
        <v>7</v>
      </c>
      <c r="C5" s="1">
        <v>5</v>
      </c>
      <c r="F5">
        <v>1</v>
      </c>
      <c r="G5" t="str">
        <f>VLOOKUP(F5,$A$4:$C$8,2,TRUE)</f>
        <v>Pastel</v>
      </c>
      <c r="H5" s="1">
        <f>VLOOKUP(F5,$A$4:$C$8,3,TRUE)</f>
        <v>5</v>
      </c>
      <c r="I5">
        <v>1</v>
      </c>
      <c r="J5" s="4">
        <f>H5*I5</f>
        <v>5</v>
      </c>
    </row>
    <row r="6" spans="1:10" x14ac:dyDescent="0.25">
      <c r="A6">
        <v>2</v>
      </c>
      <c r="B6" t="s">
        <v>8</v>
      </c>
      <c r="C6" s="1">
        <v>4.5</v>
      </c>
      <c r="I6" t="s">
        <v>11</v>
      </c>
      <c r="J6" s="4">
        <f>SUM(J4:J5)</f>
        <v>14</v>
      </c>
    </row>
    <row r="7" spans="1:10" x14ac:dyDescent="0.25">
      <c r="A7">
        <v>3</v>
      </c>
      <c r="B7" t="s">
        <v>9</v>
      </c>
      <c r="C7" s="1">
        <v>3.5</v>
      </c>
      <c r="I7" t="s">
        <v>12</v>
      </c>
      <c r="J7" s="2">
        <f ca="1">TODAY()</f>
        <v>44364</v>
      </c>
    </row>
    <row r="8" spans="1:10" x14ac:dyDescent="0.25">
      <c r="A8">
        <v>4</v>
      </c>
      <c r="B8" t="s">
        <v>10</v>
      </c>
      <c r="C8" s="1">
        <v>6</v>
      </c>
      <c r="I8" t="s">
        <v>13</v>
      </c>
      <c r="J8" s="3">
        <f ca="1">NOW()</f>
        <v>44364.453493402776</v>
      </c>
    </row>
    <row r="15" spans="1:10" x14ac:dyDescent="0.25">
      <c r="B15" t="s">
        <v>12</v>
      </c>
      <c r="C15" t="s">
        <v>13</v>
      </c>
      <c r="D15" t="s">
        <v>11</v>
      </c>
    </row>
    <row r="16" spans="1:10" x14ac:dyDescent="0.25">
      <c r="B16" s="2">
        <v>44364</v>
      </c>
      <c r="C16" s="5">
        <v>0.45208333333333334</v>
      </c>
      <c r="D16" s="1">
        <v>9.5</v>
      </c>
    </row>
    <row r="17" spans="2:4" x14ac:dyDescent="0.25">
      <c r="B17" s="2">
        <v>44364</v>
      </c>
      <c r="C17" s="5">
        <v>0.45277777777777778</v>
      </c>
      <c r="D17" s="1">
        <v>14</v>
      </c>
    </row>
    <row r="18" spans="2:4" x14ac:dyDescent="0.25">
      <c r="D18" s="1"/>
    </row>
    <row r="19" spans="2:4" x14ac:dyDescent="0.25">
      <c r="D19" s="1"/>
    </row>
    <row r="20" spans="2:4" x14ac:dyDescent="0.25">
      <c r="D2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2021-06-17T13:43:17Z</dcterms:created>
  <dcterms:modified xsi:type="dcterms:W3CDTF">2021-06-17T13:53:43Z</dcterms:modified>
</cp:coreProperties>
</file>